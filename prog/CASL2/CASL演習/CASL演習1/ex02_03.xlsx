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riy\OneDrive\デスクトップ\"/>
    </mc:Choice>
  </mc:AlternateContent>
  <xr:revisionPtr revIDLastSave="0" documentId="13_ncr:1_{1DCB659B-25BF-4789-81F5-59ADEF7875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-1" sheetId="1" r:id="rId1"/>
    <sheet name="2-2" sheetId="2" r:id="rId2"/>
    <sheet name="2-3" sheetId="4" r:id="rId3"/>
    <sheet name="3" sheetId="5" r:id="rId4"/>
    <sheet name="Sheet1" sheetId="6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6" l="1"/>
  <c r="F3" i="6" l="1"/>
  <c r="C4" i="6"/>
  <c r="F4" i="6" s="1"/>
  <c r="C6" i="6"/>
  <c r="F6" i="6" s="1"/>
  <c r="C7" i="6"/>
  <c r="F7" i="6" s="1"/>
  <c r="C8" i="6"/>
  <c r="F8" i="6" s="1"/>
  <c r="C9" i="6"/>
  <c r="F9" i="6" s="1"/>
  <c r="C10" i="6"/>
  <c r="F10" i="6" s="1"/>
  <c r="C11" i="6"/>
  <c r="F11" i="6" s="1"/>
  <c r="B57" i="6"/>
  <c r="B58" i="6"/>
  <c r="B59" i="6"/>
  <c r="B60" i="6"/>
  <c r="B61" i="6"/>
  <c r="B62" i="6"/>
  <c r="B63" i="6"/>
  <c r="B64" i="6"/>
  <c r="B56" i="6"/>
  <c r="C57" i="6"/>
  <c r="C58" i="6"/>
  <c r="C59" i="6"/>
  <c r="C60" i="6"/>
  <c r="C61" i="6"/>
  <c r="C62" i="6"/>
  <c r="C63" i="6"/>
  <c r="C64" i="6"/>
  <c r="C56" i="6"/>
  <c r="H10" i="6" l="1" a="1"/>
  <c r="H10" i="6" s="1"/>
  <c r="H11" i="6" s="1"/>
  <c r="B67" i="6" s="1"/>
  <c r="A67" i="6" s="1"/>
  <c r="H35" i="6"/>
  <c r="F64" i="6" l="1"/>
  <c r="F63" i="6"/>
  <c r="F61" i="6"/>
  <c r="F59" i="6"/>
  <c r="F58" i="6"/>
  <c r="F57" i="6"/>
  <c r="C51" i="6"/>
  <c r="F51" i="6" s="1"/>
  <c r="C50" i="6"/>
  <c r="F50" i="6" s="1"/>
  <c r="C49" i="6"/>
  <c r="F49" i="6" s="1"/>
  <c r="C36" i="6"/>
  <c r="F36" i="6" s="1"/>
  <c r="C37" i="6"/>
  <c r="F37" i="6" s="1"/>
  <c r="C38" i="6"/>
  <c r="F38" i="6" s="1"/>
  <c r="C39" i="6"/>
  <c r="F39" i="6" s="1"/>
  <c r="C40" i="6"/>
  <c r="F40" i="6" s="1"/>
  <c r="C41" i="6"/>
  <c r="F41" i="6" s="1"/>
  <c r="C42" i="6"/>
  <c r="F42" i="6" s="1"/>
  <c r="C43" i="6"/>
  <c r="F43" i="6" s="1"/>
  <c r="C44" i="6"/>
  <c r="F44" i="6" s="1"/>
  <c r="C45" i="6"/>
  <c r="F45" i="6" s="1"/>
  <c r="C46" i="6"/>
  <c r="F46" i="6" s="1"/>
  <c r="C47" i="6"/>
  <c r="F47" i="6" s="1"/>
  <c r="C35" i="6"/>
  <c r="F35" i="6" s="1"/>
  <c r="C18" i="6"/>
  <c r="F18" i="6" s="1"/>
  <c r="C19" i="6"/>
  <c r="F19" i="6" s="1"/>
  <c r="C20" i="6"/>
  <c r="F20" i="6" s="1"/>
  <c r="C21" i="6"/>
  <c r="F21" i="6" s="1"/>
  <c r="C22" i="6"/>
  <c r="F22" i="6" s="1"/>
  <c r="C23" i="6"/>
  <c r="F23" i="6" s="1"/>
  <c r="C24" i="6"/>
  <c r="F24" i="6" s="1"/>
  <c r="C25" i="6"/>
  <c r="F25" i="6" s="1"/>
  <c r="C26" i="6"/>
  <c r="F26" i="6" s="1"/>
  <c r="C27" i="6"/>
  <c r="F27" i="6" s="1"/>
  <c r="C28" i="6"/>
  <c r="F28" i="6" s="1"/>
  <c r="C29" i="6"/>
  <c r="F29" i="6" s="1"/>
  <c r="C30" i="6"/>
  <c r="F30" i="6" s="1"/>
  <c r="C17" i="6"/>
  <c r="F17" i="6" s="1"/>
  <c r="H29" i="6" l="1" a="1"/>
  <c r="H29" i="6" s="1"/>
  <c r="H30" i="6" s="1"/>
  <c r="D67" i="6" s="1"/>
  <c r="C67" i="6" s="1"/>
  <c r="H50" i="6" a="1"/>
  <c r="H50" i="6" s="1"/>
  <c r="H51" i="6" s="1"/>
  <c r="F67" i="6" s="1"/>
  <c r="E67" i="6" s="1"/>
  <c r="F56" i="6"/>
  <c r="F60" i="6"/>
  <c r="F62" i="6"/>
  <c r="H63" i="6" l="1" a="1"/>
  <c r="H63" i="6" s="1"/>
  <c r="H64" i="6" s="1"/>
  <c r="H67" i="6" s="1"/>
  <c r="G67" i="6" s="1"/>
</calcChain>
</file>

<file path=xl/sharedStrings.xml><?xml version="1.0" encoding="utf-8"?>
<sst xmlns="http://schemas.openxmlformats.org/spreadsheetml/2006/main" count="274" uniqueCount="129">
  <si>
    <t>[ 問題２ ] ( 1 )</t>
    <rPh sb="2" eb="4">
      <t>モンダイ</t>
    </rPh>
    <phoneticPr fontId="1"/>
  </si>
  <si>
    <t>GR2</t>
    <phoneticPr fontId="1"/>
  </si>
  <si>
    <t>GR3</t>
    <phoneticPr fontId="1"/>
  </si>
  <si>
    <t>DATA1</t>
    <phoneticPr fontId="1"/>
  </si>
  <si>
    <t>DATA2</t>
  </si>
  <si>
    <t>DATA2</t>
    <phoneticPr fontId="1"/>
  </si>
  <si>
    <t>DATA3</t>
  </si>
  <si>
    <t>DATA3</t>
    <phoneticPr fontId="1"/>
  </si>
  <si>
    <t>DATA4</t>
  </si>
  <si>
    <t>DATA4</t>
    <phoneticPr fontId="1"/>
  </si>
  <si>
    <t>N</t>
    <phoneticPr fontId="1"/>
  </si>
  <si>
    <t>ANS</t>
    <phoneticPr fontId="1"/>
  </si>
  <si>
    <t>PROG</t>
    <phoneticPr fontId="1"/>
  </si>
  <si>
    <t>START</t>
    <phoneticPr fontId="1"/>
  </si>
  <si>
    <t>LD</t>
    <phoneticPr fontId="1"/>
  </si>
  <si>
    <t>GR2,N</t>
    <phoneticPr fontId="1"/>
  </si>
  <si>
    <t>GR3,DATA2</t>
    <phoneticPr fontId="1"/>
  </si>
  <si>
    <t>ADDA</t>
    <phoneticPr fontId="1"/>
  </si>
  <si>
    <t>GR3,GR2</t>
    <phoneticPr fontId="1"/>
  </si>
  <si>
    <t>ST</t>
    <phoneticPr fontId="1"/>
  </si>
  <si>
    <t>RET</t>
    <phoneticPr fontId="1"/>
  </si>
  <si>
    <t>DC</t>
    <phoneticPr fontId="1"/>
  </si>
  <si>
    <t>DS</t>
    <phoneticPr fontId="1"/>
  </si>
  <si>
    <t>END</t>
    <phoneticPr fontId="1"/>
  </si>
  <si>
    <t>#1120</t>
    <phoneticPr fontId="1"/>
  </si>
  <si>
    <t>#000C</t>
    <phoneticPr fontId="1"/>
  </si>
  <si>
    <t>#1403</t>
    <phoneticPr fontId="1"/>
  </si>
  <si>
    <t>#8100</t>
    <phoneticPr fontId="1"/>
  </si>
  <si>
    <t>アドレス(16進数)</t>
    <rPh sb="7" eb="9">
      <t>シンスウ</t>
    </rPh>
    <phoneticPr fontId="1"/>
  </si>
  <si>
    <t>主記憶装置</t>
    <rPh sb="0" eb="5">
      <t>シュキオクソウチ</t>
    </rPh>
    <phoneticPr fontId="1"/>
  </si>
  <si>
    <t>0000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</si>
  <si>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</si>
  <si>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</si>
  <si>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</si>
  <si>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</si>
  <si>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</si>
  <si>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</si>
  <si>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</si>
  <si>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</si>
  <si>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</si>
  <si>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000A</t>
  </si>
  <si>
    <t>000B</t>
  </si>
  <si>
    <t>000C</t>
  </si>
  <si>
    <t>000D</t>
  </si>
  <si>
    <t>[ 問題２ ] ( 2 )</t>
    <rPh sb="2" eb="4">
      <t>モンダイ</t>
    </rPh>
    <phoneticPr fontId="1"/>
  </si>
  <si>
    <t>実行終了後のレジスタと各番地の内容</t>
    <rPh sb="0" eb="2">
      <t>ジッコウ</t>
    </rPh>
    <rPh sb="2" eb="5">
      <t>シュウリョウゴ</t>
    </rPh>
    <rPh sb="11" eb="12">
      <t>カク</t>
    </rPh>
    <rPh sb="12" eb="14">
      <t>バンチ</t>
    </rPh>
    <rPh sb="15" eb="17">
      <t>ナイヨウ</t>
    </rPh>
    <phoneticPr fontId="1"/>
  </si>
  <si>
    <t>ロード直後の主記憶の内容</t>
    <rPh sb="3" eb="5">
      <t>チョクゴ</t>
    </rPh>
    <rPh sb="6" eb="9">
      <t>シュキオク</t>
    </rPh>
    <rPh sb="10" eb="12">
      <t>ナイヨウ</t>
    </rPh>
    <phoneticPr fontId="1"/>
  </si>
  <si>
    <t>[ 問題２ ] ( 3 )</t>
    <rPh sb="2" eb="4">
      <t>モンダイ</t>
    </rPh>
    <phoneticPr fontId="1"/>
  </si>
  <si>
    <t>実行後の主記憶とレジスタの内容</t>
    <rPh sb="0" eb="2">
      <t>ジッコウ</t>
    </rPh>
    <rPh sb="2" eb="3">
      <t>ゴ</t>
    </rPh>
    <rPh sb="4" eb="7">
      <t>シュキオク</t>
    </rPh>
    <rPh sb="13" eb="15">
      <t>ナイヨウ</t>
    </rPh>
    <phoneticPr fontId="1"/>
  </si>
  <si>
    <t>左記のようになった理由</t>
    <rPh sb="0" eb="2">
      <t>サキ</t>
    </rPh>
    <rPh sb="9" eb="11">
      <t>リユウ</t>
    </rPh>
    <phoneticPr fontId="1"/>
  </si>
  <si>
    <t>[ 問題３ ]</t>
    <rPh sb="2" eb="4">
      <t>モンダイ</t>
    </rPh>
    <phoneticPr fontId="1"/>
  </si>
  <si>
    <t>逆アセンブル</t>
    <rPh sb="0" eb="1">
      <t>ギャク</t>
    </rPh>
    <phoneticPr fontId="1"/>
  </si>
  <si>
    <t>アドレス</t>
    <phoneticPr fontId="1"/>
  </si>
  <si>
    <t>機械語</t>
    <rPh sb="0" eb="3">
      <t>キカイゴ</t>
    </rPh>
    <phoneticPr fontId="1"/>
  </si>
  <si>
    <t>0000:</t>
  </si>
  <si>
    <t>0002:</t>
  </si>
  <si>
    <t>0004:</t>
  </si>
  <si>
    <t>0006:</t>
  </si>
  <si>
    <t>0007:</t>
  </si>
  <si>
    <t>0009:</t>
  </si>
  <si>
    <t>000B:</t>
  </si>
  <si>
    <t>000D:</t>
  </si>
  <si>
    <t>000F:</t>
  </si>
  <si>
    <t>0010</t>
  </si>
  <si>
    <t>0012</t>
  </si>
  <si>
    <t>0011</t>
  </si>
  <si>
    <t>OP</t>
    <phoneticPr fontId="1"/>
  </si>
  <si>
    <t>オペランド</t>
    <phoneticPr fontId="1"/>
  </si>
  <si>
    <t>1120</t>
  </si>
  <si>
    <t>1403</t>
  </si>
  <si>
    <t>8100</t>
  </si>
  <si>
    <t>1020</t>
  </si>
  <si>
    <t>1030</t>
  </si>
  <si>
    <t>2432</t>
  </si>
  <si>
    <t>1130</t>
  </si>
  <si>
    <t>****</t>
  </si>
  <si>
    <t>RET命令がないので、本来はデータである１１２０　０００Cが機械語として認識される。１１２０　０００CはGR2の内容を０００Cに転送するという命令なので０００Cに0001が入る。さらに１４０３が機械語として認識され、GR0にGR3の内容が読み込まれて０００Dが入る。</t>
  </si>
  <si>
    <t>LAD</t>
  </si>
  <si>
    <t>LD</t>
  </si>
  <si>
    <t>SUBA</t>
  </si>
  <si>
    <t>JMI</t>
  </si>
  <si>
    <t>ADDA</t>
  </si>
  <si>
    <t>JUMP</t>
  </si>
  <si>
    <t>ST</t>
  </si>
  <si>
    <t>RET</t>
  </si>
  <si>
    <t>GR0,#0000</t>
  </si>
  <si>
    <t>GR1,#0010</t>
  </si>
  <si>
    <t>GR2,#0001</t>
  </si>
  <si>
    <t>GR1,GR2</t>
  </si>
  <si>
    <t>#000D</t>
  </si>
  <si>
    <t>GR0,#0012,GR1</t>
  </si>
  <si>
    <t>#0006</t>
  </si>
  <si>
    <t>GR0,#0011</t>
  </si>
  <si>
    <t>GR0</t>
    <phoneticPr fontId="1"/>
  </si>
  <si>
    <t>0000</t>
    <phoneticPr fontId="1"/>
  </si>
  <si>
    <t>0002</t>
    <phoneticPr fontId="1"/>
  </si>
  <si>
    <t>0004</t>
    <phoneticPr fontId="1"/>
  </si>
  <si>
    <t>0006</t>
    <phoneticPr fontId="1"/>
  </si>
  <si>
    <t>0007</t>
    <phoneticPr fontId="1"/>
  </si>
  <si>
    <t>0009</t>
    <phoneticPr fontId="1"/>
  </si>
  <si>
    <t>000B</t>
    <phoneticPr fontId="1"/>
  </si>
  <si>
    <t>000D</t>
    <phoneticPr fontId="1"/>
  </si>
  <si>
    <t>000F</t>
    <phoneticPr fontId="1"/>
  </si>
  <si>
    <t>コピペ用</t>
    <rPh sb="3" eb="4">
      <t>ヨウ</t>
    </rPh>
    <phoneticPr fontId="1"/>
  </si>
  <si>
    <t>1120</t>
    <phoneticPr fontId="1"/>
  </si>
  <si>
    <t>000C</t>
    <phoneticPr fontId="1"/>
  </si>
  <si>
    <t>1403</t>
    <phoneticPr fontId="1"/>
  </si>
  <si>
    <t>8100</t>
    <phoneticPr fontId="1"/>
  </si>
  <si>
    <t>1020</t>
    <phoneticPr fontId="1"/>
  </si>
  <si>
    <t>1030</t>
    <phoneticPr fontId="1"/>
  </si>
  <si>
    <t>2432</t>
    <phoneticPr fontId="1"/>
  </si>
  <si>
    <t>1130</t>
    <phoneticPr fontId="1"/>
  </si>
  <si>
    <t>0001</t>
    <phoneticPr fontId="1"/>
  </si>
  <si>
    <t>****</t>
    <phoneticPr fontId="1"/>
  </si>
  <si>
    <t>LAD</t>
    <phoneticPr fontId="1"/>
  </si>
  <si>
    <t>SUBA</t>
    <phoneticPr fontId="1"/>
  </si>
  <si>
    <t>GR1, #0010</t>
    <phoneticPr fontId="1"/>
  </si>
  <si>
    <t>GR0, #0000</t>
    <phoneticPr fontId="1"/>
  </si>
  <si>
    <t>GR2, #0001</t>
    <phoneticPr fontId="1"/>
  </si>
  <si>
    <t>GR1, GR2</t>
    <phoneticPr fontId="1"/>
  </si>
  <si>
    <t>JMI</t>
    <phoneticPr fontId="1"/>
  </si>
  <si>
    <t>#000D</t>
    <phoneticPr fontId="1"/>
  </si>
  <si>
    <t>GR0, #0012, GR1</t>
    <phoneticPr fontId="1"/>
  </si>
  <si>
    <t>JUMP</t>
    <phoneticPr fontId="1"/>
  </si>
  <si>
    <t>#0006</t>
    <phoneticPr fontId="1"/>
  </si>
  <si>
    <t>GR0, #0011</t>
    <phoneticPr fontId="1"/>
  </si>
  <si>
    <t>GR3,ANS</t>
    <phoneticPr fontId="1"/>
  </si>
  <si>
    <t>0008</t>
    <phoneticPr fontId="1"/>
  </si>
  <si>
    <t>#0006番地までは(2)と同じように進んでいくが、[RET]がないため、そのままデータ部分を実行命令として受け取って進めていく。なので、#0007番地の「ST GR2,#000C」では#000C番地にGR2のデータ(0001)を格納して#000C番地に0001、#0009番地の「LD GR0,GR3」はGR0にGR3の内容を読み込ませGR0が000Dとなる。その後、#000A番地のもともとデータだった[8100]がRET命令として受け取られて、プログラムの書き込みが終了するため、実行が終了される。</t>
    <rPh sb="5" eb="7">
      <t>バンチ</t>
    </rPh>
    <rPh sb="14" eb="15">
      <t>オナ</t>
    </rPh>
    <rPh sb="19" eb="20">
      <t>スス</t>
    </rPh>
    <rPh sb="44" eb="46">
      <t>ブブン</t>
    </rPh>
    <rPh sb="47" eb="51">
      <t>ジッコウメイレイ</t>
    </rPh>
    <rPh sb="54" eb="55">
      <t>ウ</t>
    </rPh>
    <rPh sb="56" eb="57">
      <t>ト</t>
    </rPh>
    <rPh sb="59" eb="60">
      <t>スス</t>
    </rPh>
    <rPh sb="74" eb="76">
      <t>バンチ</t>
    </rPh>
    <rPh sb="98" eb="100">
      <t>バンチ</t>
    </rPh>
    <rPh sb="115" eb="117">
      <t>カクノウ</t>
    </rPh>
    <rPh sb="124" eb="126">
      <t>バンチ</t>
    </rPh>
    <rPh sb="137" eb="139">
      <t>バンチ</t>
    </rPh>
    <rPh sb="161" eb="163">
      <t>ナイヨウ</t>
    </rPh>
    <rPh sb="164" eb="165">
      <t>ヨ</t>
    </rPh>
    <rPh sb="166" eb="167">
      <t>コ</t>
    </rPh>
    <rPh sb="183" eb="184">
      <t>ゴ</t>
    </rPh>
    <rPh sb="190" eb="192">
      <t>バンチ</t>
    </rPh>
    <rPh sb="213" eb="215">
      <t>メイレイ</t>
    </rPh>
    <rPh sb="218" eb="219">
      <t>ウ</t>
    </rPh>
    <rPh sb="220" eb="221">
      <t>ト</t>
    </rPh>
    <rPh sb="231" eb="232">
      <t>カ</t>
    </rPh>
    <rPh sb="233" eb="234">
      <t>コ</t>
    </rPh>
    <rPh sb="236" eb="238">
      <t>シュウリョウ</t>
    </rPh>
    <rPh sb="243" eb="245">
      <t>ジッコウ</t>
    </rPh>
    <rPh sb="246" eb="248">
      <t>シュウリョウ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</si>
</sst>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8"/>
      <color rgb="FFFF0000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 indent="1"/>
    </xf>
    <xf numFmtId="0" fontId="4" fillId="2" borderId="1" xfId="0" applyFont="1" applyFill="1" applyBorder="1">
      <alignment vertical="center"/>
    </xf>
    <xf numFmtId="0" fontId="2" fillId="0" borderId="3" xfId="0" applyFont="1" applyBorder="1">
      <alignment vertical="center"/>
    </xf>
    <xf numFmtId="0" fontId="3" fillId="0" borderId="2" xfId="0" applyFont="1" applyBorder="1" applyAlignment="1">
      <alignment horizontal="right" vertical="center"/>
    </xf>
    <xf numFmtId="0" fontId="2" fillId="0" borderId="4" xfId="0" applyFont="1" applyBorder="1">
      <alignment vertical="center"/>
    </xf>
    <xf numFmtId="0" fontId="3" fillId="0" borderId="3" xfId="0" applyFont="1" applyBorder="1" applyAlignment="1">
      <alignment horizontal="left" vertical="center" indent="1"/>
    </xf>
    <xf numFmtId="0" fontId="2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right" vertical="center"/>
    </xf>
    <xf numFmtId="49" fontId="7" fillId="0" borderId="0" xfId="0" applyNumberFormat="1" applyFont="1" applyAlignment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49" fontId="5" fillId="0" borderId="2" xfId="0" applyNumberFormat="1" applyFont="1" applyBorder="1" applyAlignment="1" applyProtection="1">
      <alignment horizontal="left" vertical="center" indent="1"/>
      <protection locked="0"/>
    </xf>
    <xf numFmtId="49" fontId="5" fillId="0" borderId="3" xfId="0" applyNumberFormat="1" applyFont="1" applyBorder="1" applyAlignment="1" applyProtection="1">
      <alignment horizontal="left" vertical="center" inden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6</xdr:row>
      <xdr:rowOff>213360</xdr:rowOff>
    </xdr:from>
    <xdr:to>
      <xdr:col>4</xdr:col>
      <xdr:colOff>716280</xdr:colOff>
      <xdr:row>8</xdr:row>
      <xdr:rowOff>121920</xdr:rowOff>
    </xdr:to>
    <xdr:sp macro="" textlink="">
      <xdr:nvSpPr>
        <xdr:cNvPr id="3" name="右矢印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948940" y="2118360"/>
          <a:ext cx="579120" cy="57912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5"/>
  <sheetViews>
    <sheetView tabSelected="1" topLeftCell="A2" zoomScaleNormal="100" workbookViewId="0">
      <selection activeCell="L4" sqref="L4"/>
    </sheetView>
  </sheetViews>
  <sheetFormatPr defaultRowHeight="18" x14ac:dyDescent="0.45"/>
  <cols>
    <col min="2" max="2" width="12.8984375" customWidth="1"/>
    <col min="3" max="3" width="25.69921875" customWidth="1"/>
    <col min="5" max="5" width="14.3984375" customWidth="1"/>
    <col min="6" max="6" width="14.19921875" customWidth="1"/>
    <col min="7" max="7" width="19" bestFit="1" customWidth="1"/>
  </cols>
  <sheetData>
    <row r="1" spans="1:7" ht="26.4" x14ac:dyDescent="0.45">
      <c r="A1" s="2" t="s">
        <v>0</v>
      </c>
      <c r="C1" t="s">
        <v>45</v>
      </c>
    </row>
    <row r="2" spans="1:7" x14ac:dyDescent="0.45">
      <c r="C2" s="1"/>
    </row>
    <row r="3" spans="1:7" ht="28.8" x14ac:dyDescent="0.45">
      <c r="B3" s="3" t="s">
        <v>1</v>
      </c>
      <c r="C3" s="25" t="s">
        <v>112</v>
      </c>
      <c r="E3" s="3" t="s">
        <v>12</v>
      </c>
      <c r="F3" s="3" t="s">
        <v>13</v>
      </c>
      <c r="G3" s="3"/>
    </row>
    <row r="4" spans="1:7" ht="28.8" x14ac:dyDescent="0.45">
      <c r="B4" s="4" t="s">
        <v>2</v>
      </c>
      <c r="C4" s="25" t="s">
        <v>101</v>
      </c>
      <c r="E4" s="3"/>
      <c r="F4" s="3" t="s">
        <v>14</v>
      </c>
      <c r="G4" s="3" t="s">
        <v>15</v>
      </c>
    </row>
    <row r="5" spans="1:7" ht="28.8" x14ac:dyDescent="0.45">
      <c r="B5" s="4"/>
      <c r="C5" s="7"/>
      <c r="E5" s="3"/>
      <c r="F5" s="3" t="s">
        <v>14</v>
      </c>
      <c r="G5" s="3" t="s">
        <v>16</v>
      </c>
    </row>
    <row r="6" spans="1:7" ht="28.8" x14ac:dyDescent="0.45">
      <c r="B6" s="4" t="s">
        <v>3</v>
      </c>
      <c r="C6" s="25" t="s">
        <v>104</v>
      </c>
      <c r="E6" s="3"/>
      <c r="F6" s="3" t="s">
        <v>17</v>
      </c>
      <c r="G6" s="3" t="s">
        <v>18</v>
      </c>
    </row>
    <row r="7" spans="1:7" ht="28.8" x14ac:dyDescent="0.45">
      <c r="B7" s="4" t="s">
        <v>5</v>
      </c>
      <c r="C7" s="25" t="s">
        <v>105</v>
      </c>
      <c r="E7" s="3"/>
      <c r="F7" s="3" t="s">
        <v>19</v>
      </c>
      <c r="G7" s="3" t="s">
        <v>126</v>
      </c>
    </row>
    <row r="8" spans="1:7" ht="28.8" x14ac:dyDescent="0.45">
      <c r="B8" s="4" t="s">
        <v>7</v>
      </c>
      <c r="C8" s="25" t="s">
        <v>106</v>
      </c>
      <c r="E8" s="3"/>
      <c r="F8" s="3" t="s">
        <v>20</v>
      </c>
      <c r="G8" s="3"/>
    </row>
    <row r="9" spans="1:7" ht="28.8" x14ac:dyDescent="0.45">
      <c r="B9" s="4" t="s">
        <v>9</v>
      </c>
      <c r="C9" s="25" t="s">
        <v>107</v>
      </c>
      <c r="E9" s="3" t="s">
        <v>3</v>
      </c>
      <c r="F9" s="3" t="s">
        <v>21</v>
      </c>
      <c r="G9" s="3" t="s">
        <v>24</v>
      </c>
    </row>
    <row r="10" spans="1:7" ht="28.8" x14ac:dyDescent="0.45">
      <c r="B10" s="4" t="s">
        <v>10</v>
      </c>
      <c r="C10" s="25" t="s">
        <v>112</v>
      </c>
      <c r="E10" s="3" t="s">
        <v>4</v>
      </c>
      <c r="F10" s="3" t="s">
        <v>21</v>
      </c>
      <c r="G10" s="3" t="s">
        <v>25</v>
      </c>
    </row>
    <row r="11" spans="1:7" ht="28.8" x14ac:dyDescent="0.45">
      <c r="B11" s="4" t="s">
        <v>11</v>
      </c>
      <c r="C11" s="25" t="s">
        <v>101</v>
      </c>
      <c r="E11" s="3" t="s">
        <v>6</v>
      </c>
      <c r="F11" s="3" t="s">
        <v>21</v>
      </c>
      <c r="G11" s="3" t="s">
        <v>26</v>
      </c>
    </row>
    <row r="12" spans="1:7" ht="28.8" x14ac:dyDescent="0.45">
      <c r="E12" s="3" t="s">
        <v>8</v>
      </c>
      <c r="F12" s="3" t="s">
        <v>21</v>
      </c>
      <c r="G12" s="3" t="s">
        <v>27</v>
      </c>
    </row>
    <row r="13" spans="1:7" ht="28.8" x14ac:dyDescent="0.45">
      <c r="E13" s="3" t="s">
        <v>10</v>
      </c>
      <c r="F13" s="3" t="s">
        <v>21</v>
      </c>
      <c r="G13" s="5">
        <v>1</v>
      </c>
    </row>
    <row r="14" spans="1:7" ht="28.8" x14ac:dyDescent="0.45">
      <c r="E14" s="3" t="s">
        <v>11</v>
      </c>
      <c r="F14" s="3" t="s">
        <v>22</v>
      </c>
      <c r="G14" s="5">
        <v>1</v>
      </c>
    </row>
    <row r="15" spans="1:7" ht="28.8" x14ac:dyDescent="0.45">
      <c r="E15" s="3"/>
      <c r="F15" s="3" t="s">
        <v>23</v>
      </c>
      <c r="G15" s="3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17"/>
  <sheetViews>
    <sheetView topLeftCell="A3" workbookViewId="0">
      <selection activeCell="C10" sqref="C10"/>
    </sheetView>
  </sheetViews>
  <sheetFormatPr defaultRowHeight="18" x14ac:dyDescent="0.45"/>
  <cols>
    <col min="2" max="2" width="10.5" customWidth="1"/>
    <col min="3" max="3" width="18.19921875" customWidth="1"/>
  </cols>
  <sheetData>
    <row r="1" spans="1:3" ht="26.4" x14ac:dyDescent="0.45">
      <c r="A1" s="2" t="s">
        <v>44</v>
      </c>
      <c r="C1" t="s">
        <v>46</v>
      </c>
    </row>
    <row r="3" spans="1:3" ht="24.6" customHeight="1" x14ac:dyDescent="0.45">
      <c r="B3" s="6" t="s">
        <v>28</v>
      </c>
      <c r="C3" s="7" t="s">
        <v>29</v>
      </c>
    </row>
    <row r="4" spans="1:3" ht="24.6" customHeight="1" x14ac:dyDescent="0.45">
      <c r="B4" s="8" t="s">
        <v>30</v>
      </c>
      <c r="C4" s="25" t="s">
        <v>108</v>
      </c>
    </row>
    <row r="5" spans="1:3" ht="24.6" customHeight="1" x14ac:dyDescent="0.45">
      <c r="B5" s="8" t="s">
        <v>31</v>
      </c>
      <c r="C5" s="25" t="s">
        <v>105</v>
      </c>
    </row>
    <row r="6" spans="1:3" ht="24.6" customHeight="1" x14ac:dyDescent="0.45">
      <c r="B6" s="8" t="s">
        <v>32</v>
      </c>
      <c r="C6" s="25" t="s">
        <v>109</v>
      </c>
    </row>
    <row r="7" spans="1:3" ht="24.6" customHeight="1" x14ac:dyDescent="0.45">
      <c r="B7" s="8" t="s">
        <v>33</v>
      </c>
      <c r="C7" s="25" t="s">
        <v>99</v>
      </c>
    </row>
    <row r="8" spans="1:3" ht="24.6" customHeight="1" x14ac:dyDescent="0.45">
      <c r="B8" s="8" t="s">
        <v>34</v>
      </c>
      <c r="C8" s="25" t="s">
        <v>110</v>
      </c>
    </row>
    <row r="9" spans="1:3" ht="24.6" customHeight="1" x14ac:dyDescent="0.45">
      <c r="B9" s="8" t="s">
        <v>35</v>
      </c>
      <c r="C9" s="25" t="s">
        <v>111</v>
      </c>
    </row>
    <row r="10" spans="1:3" ht="24.6" customHeight="1" x14ac:dyDescent="0.45">
      <c r="B10" s="8" t="s">
        <v>36</v>
      </c>
      <c r="C10" s="25" t="s">
        <v>101</v>
      </c>
    </row>
    <row r="11" spans="1:3" ht="24.6" customHeight="1" x14ac:dyDescent="0.45">
      <c r="B11" s="8" t="s">
        <v>37</v>
      </c>
      <c r="C11" s="25" t="s">
        <v>107</v>
      </c>
    </row>
    <row r="12" spans="1:3" ht="24.6" customHeight="1" x14ac:dyDescent="0.45">
      <c r="B12" s="8" t="s">
        <v>38</v>
      </c>
      <c r="C12" s="25" t="s">
        <v>104</v>
      </c>
    </row>
    <row r="13" spans="1:3" ht="24.6" customHeight="1" x14ac:dyDescent="0.45">
      <c r="B13" s="8" t="s">
        <v>39</v>
      </c>
      <c r="C13" s="25" t="s">
        <v>105</v>
      </c>
    </row>
    <row r="14" spans="1:3" ht="24.6" customHeight="1" x14ac:dyDescent="0.45">
      <c r="B14" s="8" t="s">
        <v>40</v>
      </c>
      <c r="C14" s="25" t="s">
        <v>106</v>
      </c>
    </row>
    <row r="15" spans="1:3" ht="24.6" customHeight="1" x14ac:dyDescent="0.45">
      <c r="B15" s="8" t="s">
        <v>41</v>
      </c>
      <c r="C15" s="25" t="s">
        <v>107</v>
      </c>
    </row>
    <row r="16" spans="1:3" ht="24.6" customHeight="1" x14ac:dyDescent="0.45">
      <c r="B16" s="8" t="s">
        <v>42</v>
      </c>
      <c r="C16" s="25" t="s">
        <v>112</v>
      </c>
    </row>
    <row r="17" spans="2:3" ht="24.6" customHeight="1" x14ac:dyDescent="0.45">
      <c r="B17" s="8" t="s">
        <v>43</v>
      </c>
      <c r="C17" s="25" t="s">
        <v>113</v>
      </c>
    </row>
  </sheetData>
  <sheetProtection sheet="1" objects="1" scenarios="1"/>
  <phoneticPr fontId="1"/>
  <pageMargins left="0.7" right="0.7" top="0.75" bottom="0.75" header="0.3" footer="0.3"/>
  <ignoredErrors>
    <ignoredError sqref="B4:B1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6"/>
  <sheetViews>
    <sheetView topLeftCell="A4" workbookViewId="0">
      <selection activeCell="I10" sqref="I10"/>
    </sheetView>
  </sheetViews>
  <sheetFormatPr defaultRowHeight="18" x14ac:dyDescent="0.45"/>
  <cols>
    <col min="2" max="2" width="10.5" customWidth="1"/>
    <col min="3" max="3" width="18.19921875" customWidth="1"/>
    <col min="5" max="5" width="18.19921875" customWidth="1"/>
    <col min="7" max="7" width="58.09765625" customWidth="1"/>
  </cols>
  <sheetData>
    <row r="1" spans="1:7" ht="26.4" x14ac:dyDescent="0.45">
      <c r="A1" s="2" t="s">
        <v>47</v>
      </c>
      <c r="C1" t="s">
        <v>48</v>
      </c>
    </row>
    <row r="3" spans="1:7" ht="24.6" customHeight="1" x14ac:dyDescent="0.45">
      <c r="B3" s="6" t="s">
        <v>28</v>
      </c>
      <c r="C3" s="7" t="s">
        <v>29</v>
      </c>
      <c r="G3" s="9" t="s">
        <v>49</v>
      </c>
    </row>
    <row r="4" spans="1:7" ht="24.6" customHeight="1" x14ac:dyDescent="0.45">
      <c r="B4" s="8" t="s">
        <v>30</v>
      </c>
      <c r="C4" s="25" t="s">
        <v>108</v>
      </c>
      <c r="E4" s="3" t="s">
        <v>93</v>
      </c>
      <c r="G4" s="28" t="s">
        <v>128</v>
      </c>
    </row>
    <row r="5" spans="1:7" ht="24.6" customHeight="1" x14ac:dyDescent="0.45">
      <c r="B5" s="8" t="s">
        <v>31</v>
      </c>
      <c r="C5" s="25" t="s">
        <v>100</v>
      </c>
      <c r="E5" s="25" t="s">
        <v>101</v>
      </c>
      <c r="G5" s="28"/>
    </row>
    <row r="6" spans="1:7" ht="24.6" customHeight="1" x14ac:dyDescent="0.45">
      <c r="B6" s="8" t="s">
        <v>32</v>
      </c>
      <c r="C6" s="25" t="s">
        <v>109</v>
      </c>
      <c r="E6" s="4" t="s">
        <v>1</v>
      </c>
      <c r="G6" s="28"/>
    </row>
    <row r="7" spans="1:7" ht="24.6" customHeight="1" x14ac:dyDescent="0.45">
      <c r="B7" s="8" t="s">
        <v>33</v>
      </c>
      <c r="C7" s="25" t="s">
        <v>127</v>
      </c>
      <c r="E7" s="25" t="s">
        <v>112</v>
      </c>
      <c r="G7" s="28"/>
    </row>
    <row r="8" spans="1:7" ht="24.6" customHeight="1" x14ac:dyDescent="0.45">
      <c r="B8" s="8" t="s">
        <v>34</v>
      </c>
      <c r="C8" s="25" t="s">
        <v>110</v>
      </c>
      <c r="E8" s="4" t="s">
        <v>2</v>
      </c>
      <c r="G8" s="28"/>
    </row>
    <row r="9" spans="1:7" ht="24.6" customHeight="1" x14ac:dyDescent="0.45">
      <c r="B9" s="8" t="s">
        <v>35</v>
      </c>
      <c r="C9" s="25" t="s">
        <v>111</v>
      </c>
      <c r="E9" s="25" t="s">
        <v>101</v>
      </c>
      <c r="G9" s="28"/>
    </row>
    <row r="10" spans="1:7" ht="24.6" customHeight="1" x14ac:dyDescent="0.45">
      <c r="B10" s="8" t="s">
        <v>36</v>
      </c>
      <c r="C10" s="25" t="s">
        <v>105</v>
      </c>
      <c r="G10" s="28"/>
    </row>
    <row r="11" spans="1:7" ht="24.6" customHeight="1" x14ac:dyDescent="0.45">
      <c r="B11" s="8" t="s">
        <v>37</v>
      </c>
      <c r="C11" s="25" t="s">
        <v>104</v>
      </c>
      <c r="G11" s="28"/>
    </row>
    <row r="12" spans="1:7" ht="24.6" customHeight="1" x14ac:dyDescent="0.45">
      <c r="B12" s="8" t="s">
        <v>38</v>
      </c>
      <c r="C12" s="25" t="s">
        <v>105</v>
      </c>
      <c r="G12" s="28"/>
    </row>
    <row r="13" spans="1:7" ht="24.6" customHeight="1" x14ac:dyDescent="0.45">
      <c r="B13" s="8" t="s">
        <v>39</v>
      </c>
      <c r="C13" s="25" t="s">
        <v>106</v>
      </c>
      <c r="G13" s="28"/>
    </row>
    <row r="14" spans="1:7" ht="24.6" customHeight="1" x14ac:dyDescent="0.45">
      <c r="B14" s="8" t="s">
        <v>40</v>
      </c>
      <c r="C14" s="25" t="s">
        <v>107</v>
      </c>
      <c r="G14" s="28"/>
    </row>
    <row r="15" spans="1:7" ht="24.6" customHeight="1" x14ac:dyDescent="0.45">
      <c r="B15" s="8" t="s">
        <v>41</v>
      </c>
      <c r="C15" s="25" t="s">
        <v>112</v>
      </c>
      <c r="G15" s="28"/>
    </row>
    <row r="16" spans="1:7" ht="24.6" customHeight="1" x14ac:dyDescent="0.45">
      <c r="B16" s="8" t="s">
        <v>42</v>
      </c>
      <c r="C16" s="25" t="s">
        <v>112</v>
      </c>
      <c r="G16" s="28"/>
    </row>
  </sheetData>
  <sheetProtection sheet="1" objects="1" scenarios="1"/>
  <mergeCells count="1">
    <mergeCell ref="G4:G16"/>
  </mergeCells>
  <phoneticPr fontId="1"/>
  <pageMargins left="0.7" right="0.7" top="0.75" bottom="0.75" header="0.3" footer="0.3"/>
  <pageSetup paperSize="9" orientation="portrait" horizontalDpi="4294967292" verticalDpi="4294967292" r:id="rId1"/>
  <ignoredErrors>
    <ignoredError sqref="B4:B1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12"/>
  <sheetViews>
    <sheetView workbookViewId="0">
      <selection activeCell="C3" sqref="C3:D3"/>
    </sheetView>
  </sheetViews>
  <sheetFormatPr defaultRowHeight="18" x14ac:dyDescent="0.45"/>
  <cols>
    <col min="2" max="2" width="10.5" customWidth="1"/>
    <col min="3" max="4" width="8.69921875" customWidth="1"/>
    <col min="5" max="5" width="10.8984375" customWidth="1"/>
    <col min="6" max="6" width="13.19921875" customWidth="1"/>
    <col min="7" max="7" width="27.8984375" customWidth="1"/>
  </cols>
  <sheetData>
    <row r="1" spans="1:7" ht="26.4" x14ac:dyDescent="0.45">
      <c r="A1" s="2" t="s">
        <v>50</v>
      </c>
      <c r="C1" t="s">
        <v>51</v>
      </c>
    </row>
    <row r="3" spans="1:7" ht="26.4" x14ac:dyDescent="0.45">
      <c r="B3" s="16" t="s">
        <v>52</v>
      </c>
      <c r="C3" s="29" t="s">
        <v>53</v>
      </c>
      <c r="D3" s="30"/>
      <c r="F3" s="14" t="s">
        <v>66</v>
      </c>
      <c r="G3" s="15" t="s">
        <v>67</v>
      </c>
    </row>
    <row r="4" spans="1:7" ht="28.8" x14ac:dyDescent="0.45">
      <c r="B4" s="11" t="s">
        <v>54</v>
      </c>
      <c r="C4" s="12">
        <v>1200</v>
      </c>
      <c r="D4" s="13" t="s">
        <v>30</v>
      </c>
      <c r="F4" s="26" t="s">
        <v>114</v>
      </c>
      <c r="G4" s="27" t="s">
        <v>117</v>
      </c>
    </row>
    <row r="5" spans="1:7" ht="28.8" x14ac:dyDescent="0.45">
      <c r="B5" s="11" t="s">
        <v>55</v>
      </c>
      <c r="C5" s="12">
        <v>1010</v>
      </c>
      <c r="D5" s="13" t="s">
        <v>63</v>
      </c>
      <c r="F5" s="26" t="s">
        <v>14</v>
      </c>
      <c r="G5" s="27" t="s">
        <v>116</v>
      </c>
    </row>
    <row r="6" spans="1:7" ht="28.8" x14ac:dyDescent="0.45">
      <c r="B6" s="11" t="s">
        <v>56</v>
      </c>
      <c r="C6" s="12">
        <v>1220</v>
      </c>
      <c r="D6" s="13" t="s">
        <v>31</v>
      </c>
      <c r="F6" s="26" t="s">
        <v>114</v>
      </c>
      <c r="G6" s="27" t="s">
        <v>118</v>
      </c>
    </row>
    <row r="7" spans="1:7" ht="28.8" x14ac:dyDescent="0.45">
      <c r="B7" s="11" t="s">
        <v>57</v>
      </c>
      <c r="C7" s="12">
        <v>2512</v>
      </c>
      <c r="D7" s="13"/>
      <c r="F7" s="26" t="s">
        <v>115</v>
      </c>
      <c r="G7" s="27" t="s">
        <v>119</v>
      </c>
    </row>
    <row r="8" spans="1:7" ht="28.8" x14ac:dyDescent="0.45">
      <c r="B8" s="11" t="s">
        <v>58</v>
      </c>
      <c r="C8" s="12">
        <v>6100</v>
      </c>
      <c r="D8" s="13" t="s">
        <v>43</v>
      </c>
      <c r="F8" s="26" t="s">
        <v>120</v>
      </c>
      <c r="G8" s="27" t="s">
        <v>121</v>
      </c>
    </row>
    <row r="9" spans="1:7" ht="28.8" x14ac:dyDescent="0.45">
      <c r="B9" s="11" t="s">
        <v>59</v>
      </c>
      <c r="C9" s="12">
        <v>2001</v>
      </c>
      <c r="D9" s="13" t="s">
        <v>64</v>
      </c>
      <c r="F9" s="26" t="s">
        <v>17</v>
      </c>
      <c r="G9" s="27" t="s">
        <v>122</v>
      </c>
    </row>
    <row r="10" spans="1:7" ht="28.8" x14ac:dyDescent="0.45">
      <c r="B10" s="11" t="s">
        <v>60</v>
      </c>
      <c r="C10" s="12">
        <v>6400</v>
      </c>
      <c r="D10" s="13" t="s">
        <v>36</v>
      </c>
      <c r="F10" s="26" t="s">
        <v>123</v>
      </c>
      <c r="G10" s="27" t="s">
        <v>124</v>
      </c>
    </row>
    <row r="11" spans="1:7" ht="28.8" x14ac:dyDescent="0.45">
      <c r="B11" s="11" t="s">
        <v>61</v>
      </c>
      <c r="C11" s="12">
        <v>1100</v>
      </c>
      <c r="D11" s="13" t="s">
        <v>65</v>
      </c>
      <c r="F11" s="26" t="s">
        <v>19</v>
      </c>
      <c r="G11" s="27" t="s">
        <v>125</v>
      </c>
    </row>
    <row r="12" spans="1:7" ht="28.8" x14ac:dyDescent="0.45">
      <c r="B12" s="11" t="s">
        <v>62</v>
      </c>
      <c r="C12" s="12">
        <v>8100</v>
      </c>
      <c r="D12" s="10"/>
      <c r="F12" s="26" t="s">
        <v>20</v>
      </c>
      <c r="G12" s="27"/>
    </row>
  </sheetData>
  <sheetProtection sheet="1" objects="1" scenarios="1"/>
  <mergeCells count="1">
    <mergeCell ref="C3:D3"/>
  </mergeCells>
  <phoneticPr fontId="1"/>
  <pageMargins left="0.7" right="0.7" top="0.75" bottom="0.75" header="0.3" footer="0.3"/>
  <pageSetup paperSize="9" orientation="landscape" verticalDpi="0" r:id="rId1"/>
  <ignoredErrors>
    <ignoredError sqref="D4:D11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9D0B7-C338-431F-9B7A-5E508CED17C9}">
  <sheetPr codeName="Sheet5"/>
  <dimension ref="A1:N67"/>
  <sheetViews>
    <sheetView workbookViewId="0">
      <selection activeCell="H16" sqref="H16"/>
    </sheetView>
  </sheetViews>
  <sheetFormatPr defaultColWidth="9" defaultRowHeight="18" x14ac:dyDescent="0.45"/>
  <cols>
    <col min="2" max="2" width="12.8984375" customWidth="1"/>
    <col min="3" max="3" width="25.69921875" customWidth="1"/>
    <col min="4" max="4" width="7.19921875" customWidth="1"/>
    <col min="5" max="5" width="17" hidden="1" customWidth="1"/>
    <col min="8" max="8" width="65" customWidth="1"/>
    <col min="9" max="9" width="9" customWidth="1"/>
    <col min="10" max="12" width="0" hidden="1" customWidth="1"/>
    <col min="13" max="13" width="4.8984375" hidden="1" customWidth="1"/>
    <col min="14" max="14" width="14.09765625" hidden="1" customWidth="1"/>
  </cols>
  <sheetData>
    <row r="1" spans="1:8" ht="26.4" x14ac:dyDescent="0.45">
      <c r="A1" s="2" t="s">
        <v>0</v>
      </c>
      <c r="C1" t="s">
        <v>45</v>
      </c>
    </row>
    <row r="2" spans="1:8" x14ac:dyDescent="0.45">
      <c r="C2" s="1"/>
    </row>
    <row r="3" spans="1:8" ht="28.8" x14ac:dyDescent="0.45">
      <c r="B3" s="3" t="s">
        <v>1</v>
      </c>
      <c r="C3" s="17" t="str">
        <f>IF('2-1'!C3="","",ASC(UPPER(RIGHT(TRIM('2-1'!C3),4))))</f>
        <v>0001</v>
      </c>
      <c r="E3" s="20" t="s">
        <v>31</v>
      </c>
      <c r="F3" s="22" t="str">
        <f>IF(C3&lt;&gt;E3,"×","")</f>
        <v/>
      </c>
    </row>
    <row r="4" spans="1:8" ht="28.8" x14ac:dyDescent="0.45">
      <c r="B4" s="4" t="s">
        <v>2</v>
      </c>
      <c r="C4" s="17" t="str">
        <f>IF('2-1'!C4="","",ASC(UPPER(RIGHT(TRIM('2-1'!C4),4))))</f>
        <v>000D</v>
      </c>
      <c r="E4" s="20" t="s">
        <v>43</v>
      </c>
      <c r="F4" s="22" t="str">
        <f>IF(C4&lt;&gt;E4,"×","")</f>
        <v/>
      </c>
    </row>
    <row r="5" spans="1:8" ht="28.8" x14ac:dyDescent="0.45">
      <c r="B5" s="4"/>
      <c r="C5" s="7"/>
      <c r="E5" s="20"/>
      <c r="F5" s="22"/>
    </row>
    <row r="6" spans="1:8" ht="28.8" x14ac:dyDescent="0.45">
      <c r="B6" s="4" t="s">
        <v>3</v>
      </c>
      <c r="C6" s="17" t="str">
        <f>IF('2-1'!C6="","",ASC(UPPER(RIGHT(TRIM('2-1'!C6),4))))</f>
        <v>1120</v>
      </c>
      <c r="E6" s="20" t="s">
        <v>68</v>
      </c>
      <c r="F6" s="22" t="str">
        <f t="shared" ref="F6:F11" si="0">IF(C6&lt;&gt;E6,"×","")</f>
        <v/>
      </c>
    </row>
    <row r="7" spans="1:8" ht="28.8" x14ac:dyDescent="0.45">
      <c r="B7" s="4" t="s">
        <v>5</v>
      </c>
      <c r="C7" s="17" t="str">
        <f>IF('2-1'!C7="","",ASC(UPPER(RIGHT(TRIM('2-1'!C7),4))))</f>
        <v>000C</v>
      </c>
      <c r="E7" s="20" t="s">
        <v>42</v>
      </c>
      <c r="F7" s="22" t="str">
        <f t="shared" si="0"/>
        <v/>
      </c>
    </row>
    <row r="8" spans="1:8" ht="28.8" x14ac:dyDescent="0.45">
      <c r="B8" s="4" t="s">
        <v>7</v>
      </c>
      <c r="C8" s="17" t="str">
        <f>IF('2-1'!C8="","",ASC(UPPER(RIGHT(TRIM('2-1'!C8),4))))</f>
        <v>1403</v>
      </c>
      <c r="E8" s="20" t="s">
        <v>69</v>
      </c>
      <c r="F8" s="22" t="str">
        <f t="shared" si="0"/>
        <v/>
      </c>
    </row>
    <row r="9" spans="1:8" ht="28.8" x14ac:dyDescent="0.45">
      <c r="B9" s="4" t="s">
        <v>9</v>
      </c>
      <c r="C9" s="17" t="str">
        <f>IF('2-1'!C9="","",ASC(UPPER(RIGHT(TRIM('2-1'!C9),4))))</f>
        <v>8100</v>
      </c>
      <c r="E9" s="20" t="s">
        <v>70</v>
      </c>
      <c r="F9" s="22" t="str">
        <f t="shared" si="0"/>
        <v/>
      </c>
    </row>
    <row r="10" spans="1:8" ht="28.8" x14ac:dyDescent="0.45">
      <c r="B10" s="4" t="s">
        <v>10</v>
      </c>
      <c r="C10" s="17" t="str">
        <f>IF('2-1'!C10="","",ASC(UPPER(RIGHT(TRIM('2-1'!C10),4))))</f>
        <v>0001</v>
      </c>
      <c r="E10" s="20" t="s">
        <v>31</v>
      </c>
      <c r="F10" s="22" t="str">
        <f t="shared" si="0"/>
        <v/>
      </c>
      <c r="H10" t="str">
        <f t="array" ref="H10">_xlfn.TEXTJOIN(",",TRUE,IF(F3:F11="×",B3:B11,""))</f>
        <v/>
      </c>
    </row>
    <row r="11" spans="1:8" ht="28.8" x14ac:dyDescent="0.45">
      <c r="B11" s="4" t="s">
        <v>11</v>
      </c>
      <c r="C11" s="17" t="str">
        <f>IF('2-1'!C11="","",ASC(UPPER(RIGHT(TRIM('2-1'!C11),4))))</f>
        <v>000D</v>
      </c>
      <c r="E11" s="20" t="s">
        <v>43</v>
      </c>
      <c r="F11" s="22" t="str">
        <f t="shared" si="0"/>
        <v/>
      </c>
      <c r="H11" t="str">
        <f>IF(H10="","",H10&amp;"が異なる。")</f>
        <v/>
      </c>
    </row>
    <row r="12" spans="1:8" ht="19.8" x14ac:dyDescent="0.45">
      <c r="E12" s="20"/>
    </row>
    <row r="13" spans="1:8" ht="19.8" x14ac:dyDescent="0.45">
      <c r="E13" s="20"/>
    </row>
    <row r="14" spans="1:8" ht="26.4" x14ac:dyDescent="0.45">
      <c r="A14" s="2" t="s">
        <v>44</v>
      </c>
      <c r="C14" t="s">
        <v>46</v>
      </c>
      <c r="E14" s="20"/>
    </row>
    <row r="15" spans="1:8" ht="19.8" x14ac:dyDescent="0.45">
      <c r="E15" s="20"/>
    </row>
    <row r="16" spans="1:8" ht="28.8" x14ac:dyDescent="0.45">
      <c r="B16" s="6" t="s">
        <v>28</v>
      </c>
      <c r="C16" s="7" t="s">
        <v>29</v>
      </c>
      <c r="E16" s="20"/>
    </row>
    <row r="17" spans="1:8" ht="28.8" x14ac:dyDescent="0.45">
      <c r="B17" s="8" t="s">
        <v>30</v>
      </c>
      <c r="C17" s="17" t="str">
        <f>IF('2-2'!C4="","",ASC(UPPER(RIGHT(TRIM('2-2'!C4),4))))</f>
        <v>1020</v>
      </c>
      <c r="E17" s="20" t="s">
        <v>71</v>
      </c>
      <c r="F17" s="22" t="str">
        <f t="shared" ref="F17:F30" si="1">IF(C17&lt;&gt;E17,"×","")</f>
        <v/>
      </c>
    </row>
    <row r="18" spans="1:8" ht="28.8" x14ac:dyDescent="0.45">
      <c r="B18" s="8" t="s">
        <v>31</v>
      </c>
      <c r="C18" s="17" t="str">
        <f>IF('2-2'!C5="","",ASC(UPPER(RIGHT(TRIM('2-2'!C5),4))))</f>
        <v>000C</v>
      </c>
      <c r="E18" s="20" t="s">
        <v>42</v>
      </c>
      <c r="F18" s="22" t="str">
        <f t="shared" si="1"/>
        <v/>
      </c>
    </row>
    <row r="19" spans="1:8" ht="28.8" x14ac:dyDescent="0.45">
      <c r="B19" s="8" t="s">
        <v>32</v>
      </c>
      <c r="C19" s="17" t="str">
        <f>IF('2-2'!C6="","",ASC(UPPER(RIGHT(TRIM('2-2'!C6),4))))</f>
        <v>1030</v>
      </c>
      <c r="E19" s="20" t="s">
        <v>72</v>
      </c>
      <c r="F19" s="22" t="str">
        <f t="shared" si="1"/>
        <v/>
      </c>
    </row>
    <row r="20" spans="1:8" ht="28.8" x14ac:dyDescent="0.45">
      <c r="B20" s="8" t="s">
        <v>33</v>
      </c>
      <c r="C20" s="17" t="str">
        <f>IF('2-2'!C7="","",ASC(UPPER(RIGHT(TRIM('2-2'!C7),4))))</f>
        <v>0009</v>
      </c>
      <c r="E20" s="20" t="s">
        <v>39</v>
      </c>
      <c r="F20" s="22" t="str">
        <f t="shared" si="1"/>
        <v/>
      </c>
    </row>
    <row r="21" spans="1:8" ht="28.8" x14ac:dyDescent="0.45">
      <c r="B21" s="8" t="s">
        <v>34</v>
      </c>
      <c r="C21" s="17" t="str">
        <f>IF('2-2'!C8="","",ASC(UPPER(RIGHT(TRIM('2-2'!C8),4))))</f>
        <v>2432</v>
      </c>
      <c r="E21" s="20" t="s">
        <v>73</v>
      </c>
      <c r="F21" s="22" t="str">
        <f t="shared" si="1"/>
        <v/>
      </c>
    </row>
    <row r="22" spans="1:8" ht="28.8" x14ac:dyDescent="0.45">
      <c r="B22" s="8" t="s">
        <v>35</v>
      </c>
      <c r="C22" s="17" t="str">
        <f>IF('2-2'!C9="","",ASC(UPPER(RIGHT(TRIM('2-2'!C9),4))))</f>
        <v>1130</v>
      </c>
      <c r="E22" s="20" t="s">
        <v>74</v>
      </c>
      <c r="F22" s="22" t="str">
        <f t="shared" si="1"/>
        <v/>
      </c>
    </row>
    <row r="23" spans="1:8" ht="28.8" x14ac:dyDescent="0.45">
      <c r="B23" s="8" t="s">
        <v>36</v>
      </c>
      <c r="C23" s="17" t="str">
        <f>IF('2-2'!C10="","",ASC(UPPER(RIGHT(TRIM('2-2'!C10),4))))</f>
        <v>000D</v>
      </c>
      <c r="E23" s="20" t="s">
        <v>43</v>
      </c>
      <c r="F23" s="22" t="str">
        <f t="shared" si="1"/>
        <v/>
      </c>
    </row>
    <row r="24" spans="1:8" ht="28.8" x14ac:dyDescent="0.45">
      <c r="B24" s="8" t="s">
        <v>37</v>
      </c>
      <c r="C24" s="17" t="str">
        <f>IF('2-2'!C11="","",ASC(UPPER(RIGHT(TRIM('2-2'!C11),4))))</f>
        <v>8100</v>
      </c>
      <c r="E24" s="20" t="s">
        <v>70</v>
      </c>
      <c r="F24" s="22" t="str">
        <f t="shared" si="1"/>
        <v/>
      </c>
    </row>
    <row r="25" spans="1:8" ht="28.8" x14ac:dyDescent="0.45">
      <c r="B25" s="8" t="s">
        <v>38</v>
      </c>
      <c r="C25" s="17" t="str">
        <f>IF('2-2'!C12="","",ASC(UPPER(RIGHT(TRIM('2-2'!C12),4))))</f>
        <v>1120</v>
      </c>
      <c r="E25" s="20" t="s">
        <v>68</v>
      </c>
      <c r="F25" s="22" t="str">
        <f t="shared" si="1"/>
        <v/>
      </c>
    </row>
    <row r="26" spans="1:8" ht="28.8" x14ac:dyDescent="0.45">
      <c r="B26" s="8" t="s">
        <v>39</v>
      </c>
      <c r="C26" s="17" t="str">
        <f>IF('2-2'!C13="","",ASC(UPPER(RIGHT(TRIM('2-2'!C13),4))))</f>
        <v>000C</v>
      </c>
      <c r="E26" s="20" t="s">
        <v>42</v>
      </c>
      <c r="F26" s="22" t="str">
        <f t="shared" si="1"/>
        <v/>
      </c>
    </row>
    <row r="27" spans="1:8" ht="28.8" x14ac:dyDescent="0.45">
      <c r="B27" s="8" t="s">
        <v>40</v>
      </c>
      <c r="C27" s="17" t="str">
        <f>IF('2-2'!C14="","",ASC(UPPER(RIGHT(TRIM('2-2'!C14),4))))</f>
        <v>1403</v>
      </c>
      <c r="E27" s="20" t="s">
        <v>69</v>
      </c>
      <c r="F27" s="22" t="str">
        <f t="shared" si="1"/>
        <v/>
      </c>
    </row>
    <row r="28" spans="1:8" ht="28.8" x14ac:dyDescent="0.45">
      <c r="B28" s="8" t="s">
        <v>41</v>
      </c>
      <c r="C28" s="17" t="str">
        <f>IF('2-2'!C15="","",ASC(UPPER(RIGHT(TRIM('2-2'!C15),4))))</f>
        <v>8100</v>
      </c>
      <c r="E28" s="20" t="s">
        <v>70</v>
      </c>
      <c r="F28" s="22" t="str">
        <f t="shared" si="1"/>
        <v/>
      </c>
    </row>
    <row r="29" spans="1:8" ht="28.8" x14ac:dyDescent="0.45">
      <c r="B29" s="8" t="s">
        <v>42</v>
      </c>
      <c r="C29" s="17" t="str">
        <f>IF('2-2'!C16="","",ASC(UPPER(RIGHT(TRIM('2-2'!C16),4))))</f>
        <v>0001</v>
      </c>
      <c r="E29" s="20" t="s">
        <v>31</v>
      </c>
      <c r="F29" s="22" t="str">
        <f t="shared" si="1"/>
        <v/>
      </c>
      <c r="H29" t="str">
        <f t="array" ref="H29">_xlfn.TEXTJOIN(",",TRUE,IF(F17:F30="×",B17:B30,""))</f>
        <v/>
      </c>
    </row>
    <row r="30" spans="1:8" ht="28.8" x14ac:dyDescent="0.45">
      <c r="B30" s="8" t="s">
        <v>43</v>
      </c>
      <c r="C30" s="17" t="str">
        <f>IF('2-2'!C17="","",ASC(UPPER(RIGHT(TRIM('2-2'!C17),4))))</f>
        <v>****</v>
      </c>
      <c r="E30" s="20" t="s">
        <v>75</v>
      </c>
      <c r="F30" s="22" t="str">
        <f t="shared" si="1"/>
        <v/>
      </c>
      <c r="H30" t="str">
        <f>IF(H29="","",H29&amp;"が異なる。")</f>
        <v/>
      </c>
    </row>
    <row r="31" spans="1:8" ht="19.8" x14ac:dyDescent="0.45">
      <c r="E31" s="20"/>
    </row>
    <row r="32" spans="1:8" ht="26.4" x14ac:dyDescent="0.45">
      <c r="A32" s="2" t="s">
        <v>47</v>
      </c>
      <c r="C32" t="s">
        <v>48</v>
      </c>
      <c r="E32" s="20"/>
    </row>
    <row r="33" spans="2:14" ht="19.8" x14ac:dyDescent="0.45">
      <c r="E33" s="20"/>
    </row>
    <row r="34" spans="2:14" ht="28.8" x14ac:dyDescent="0.45">
      <c r="B34" s="6" t="s">
        <v>28</v>
      </c>
      <c r="C34" s="7" t="s">
        <v>29</v>
      </c>
      <c r="E34" s="20"/>
      <c r="H34" s="9" t="s">
        <v>49</v>
      </c>
    </row>
    <row r="35" spans="2:14" ht="30" customHeight="1" x14ac:dyDescent="0.45">
      <c r="B35" s="8" t="s">
        <v>30</v>
      </c>
      <c r="C35" s="17" t="str">
        <f>IF('2-3'!C4="","",ASC(UPPER(RIGHT(TRIM('2-3'!C4),4))))</f>
        <v>1020</v>
      </c>
      <c r="E35" s="20" t="s">
        <v>71</v>
      </c>
      <c r="F35" s="22" t="str">
        <f t="shared" ref="F35:F47" si="2">IF(C35&lt;&gt;E35,"×","")</f>
        <v/>
      </c>
      <c r="H35" s="31" t="str">
        <f>'2-3'!G4</f>
        <v>#0006番地までは(2)と同じように進んでいくが、[RET]がないため、そのままデータ部分を実行命令として受け取って進めていく。なので、#0007番地の「ST GR2,#000C」では#000C番地にGR2のデータ(0001)を格納して#000C番地に0001、#0009番地の「LD GR0,GR3」はGR0にGR3の内容を読み込ませGR0が000Dとなる。その後、#000A番地のもともとデータだった[8100]がRET命令として受け取られて、プログラムの書き込みが終了するため、実行が終了される。</v>
      </c>
      <c r="J35" s="32" t="s">
        <v>76</v>
      </c>
      <c r="K35" s="32"/>
      <c r="L35" s="32"/>
      <c r="M35" s="32"/>
      <c r="N35" s="32"/>
    </row>
    <row r="36" spans="2:14" ht="28.8" x14ac:dyDescent="0.45">
      <c r="B36" s="8" t="s">
        <v>31</v>
      </c>
      <c r="C36" s="17" t="str">
        <f>IF('2-3'!C5="","",ASC(UPPER(RIGHT(TRIM('2-3'!C5),4))))</f>
        <v>000B</v>
      </c>
      <c r="E36" s="20" t="s">
        <v>41</v>
      </c>
      <c r="F36" s="22" t="str">
        <f t="shared" si="2"/>
        <v/>
      </c>
      <c r="H36" s="31"/>
      <c r="J36" s="32"/>
      <c r="K36" s="32"/>
      <c r="L36" s="32"/>
      <c r="M36" s="32"/>
      <c r="N36" s="32"/>
    </row>
    <row r="37" spans="2:14" ht="28.8" x14ac:dyDescent="0.45">
      <c r="B37" s="8" t="s">
        <v>32</v>
      </c>
      <c r="C37" s="17" t="str">
        <f>IF('2-3'!C6="","",ASC(UPPER(RIGHT(TRIM('2-3'!C6),4))))</f>
        <v>1030</v>
      </c>
      <c r="E37" s="20" t="s">
        <v>72</v>
      </c>
      <c r="F37" s="22" t="str">
        <f t="shared" si="2"/>
        <v/>
      </c>
      <c r="H37" s="31"/>
      <c r="J37" s="32"/>
      <c r="K37" s="32"/>
      <c r="L37" s="32"/>
      <c r="M37" s="32"/>
      <c r="N37" s="32"/>
    </row>
    <row r="38" spans="2:14" ht="28.8" x14ac:dyDescent="0.45">
      <c r="B38" s="8" t="s">
        <v>33</v>
      </c>
      <c r="C38" s="17" t="str">
        <f>IF('2-3'!C7="","",ASC(UPPER(RIGHT(TRIM('2-3'!C7),4))))</f>
        <v>0008</v>
      </c>
      <c r="E38" s="20" t="s">
        <v>38</v>
      </c>
      <c r="F38" s="22" t="str">
        <f t="shared" si="2"/>
        <v/>
      </c>
      <c r="H38" s="31"/>
      <c r="J38" s="32"/>
      <c r="K38" s="32"/>
      <c r="L38" s="32"/>
      <c r="M38" s="32"/>
      <c r="N38" s="32"/>
    </row>
    <row r="39" spans="2:14" ht="28.8" x14ac:dyDescent="0.45">
      <c r="B39" s="8" t="s">
        <v>34</v>
      </c>
      <c r="C39" s="17" t="str">
        <f>IF('2-3'!C8="","",ASC(UPPER(RIGHT(TRIM('2-3'!C8),4))))</f>
        <v>2432</v>
      </c>
      <c r="E39" s="20" t="s">
        <v>73</v>
      </c>
      <c r="F39" s="22" t="str">
        <f t="shared" si="2"/>
        <v/>
      </c>
      <c r="H39" s="31"/>
      <c r="J39" s="32"/>
      <c r="K39" s="32"/>
      <c r="L39" s="32"/>
      <c r="M39" s="32"/>
      <c r="N39" s="32"/>
    </row>
    <row r="40" spans="2:14" ht="28.8" x14ac:dyDescent="0.45">
      <c r="B40" s="8" t="s">
        <v>35</v>
      </c>
      <c r="C40" s="17" t="str">
        <f>IF('2-3'!C9="","",ASC(UPPER(RIGHT(TRIM('2-3'!C9),4))))</f>
        <v>1130</v>
      </c>
      <c r="E40" s="20" t="s">
        <v>74</v>
      </c>
      <c r="F40" s="22" t="str">
        <f t="shared" si="2"/>
        <v/>
      </c>
      <c r="H40" s="31"/>
      <c r="J40" s="32"/>
      <c r="K40" s="32"/>
      <c r="L40" s="32"/>
      <c r="M40" s="32"/>
      <c r="N40" s="32"/>
    </row>
    <row r="41" spans="2:14" ht="28.8" x14ac:dyDescent="0.45">
      <c r="B41" s="8" t="s">
        <v>36</v>
      </c>
      <c r="C41" s="17" t="str">
        <f>IF('2-3'!C10="","",ASC(UPPER(RIGHT(TRIM('2-3'!C10),4))))</f>
        <v>000C</v>
      </c>
      <c r="E41" s="20" t="s">
        <v>42</v>
      </c>
      <c r="F41" s="22" t="str">
        <f t="shared" si="2"/>
        <v/>
      </c>
      <c r="H41" s="31"/>
      <c r="J41" s="32"/>
      <c r="K41" s="32"/>
      <c r="L41" s="32"/>
      <c r="M41" s="32"/>
      <c r="N41" s="32"/>
    </row>
    <row r="42" spans="2:14" ht="28.8" x14ac:dyDescent="0.45">
      <c r="B42" s="8" t="s">
        <v>37</v>
      </c>
      <c r="C42" s="17" t="str">
        <f>IF('2-3'!C11="","",ASC(UPPER(RIGHT(TRIM('2-3'!C11),4))))</f>
        <v>1120</v>
      </c>
      <c r="E42" s="20" t="s">
        <v>68</v>
      </c>
      <c r="F42" s="22" t="str">
        <f t="shared" si="2"/>
        <v/>
      </c>
      <c r="H42" s="31"/>
      <c r="J42" s="32"/>
      <c r="K42" s="32"/>
      <c r="L42" s="32"/>
      <c r="M42" s="32"/>
      <c r="N42" s="32"/>
    </row>
    <row r="43" spans="2:14" ht="28.8" x14ac:dyDescent="0.45">
      <c r="B43" s="8" t="s">
        <v>38</v>
      </c>
      <c r="C43" s="17" t="str">
        <f>IF('2-3'!C12="","",ASC(UPPER(RIGHT(TRIM('2-3'!C12),4))))</f>
        <v>000C</v>
      </c>
      <c r="E43" s="20" t="s">
        <v>42</v>
      </c>
      <c r="F43" s="22" t="str">
        <f t="shared" si="2"/>
        <v/>
      </c>
      <c r="H43" s="31"/>
      <c r="J43" s="32"/>
      <c r="K43" s="32"/>
      <c r="L43" s="32"/>
      <c r="M43" s="32"/>
      <c r="N43" s="32"/>
    </row>
    <row r="44" spans="2:14" ht="28.8" x14ac:dyDescent="0.45">
      <c r="B44" s="8" t="s">
        <v>39</v>
      </c>
      <c r="C44" s="17" t="str">
        <f>IF('2-3'!C13="","",ASC(UPPER(RIGHT(TRIM('2-3'!C13),4))))</f>
        <v>1403</v>
      </c>
      <c r="E44" s="20" t="s">
        <v>69</v>
      </c>
      <c r="F44" s="22" t="str">
        <f t="shared" si="2"/>
        <v/>
      </c>
      <c r="H44" s="31"/>
      <c r="J44" s="32"/>
      <c r="K44" s="32"/>
      <c r="L44" s="32"/>
      <c r="M44" s="32"/>
      <c r="N44" s="32"/>
    </row>
    <row r="45" spans="2:14" ht="28.8" x14ac:dyDescent="0.45">
      <c r="B45" s="8" t="s">
        <v>40</v>
      </c>
      <c r="C45" s="17" t="str">
        <f>IF('2-3'!C14="","",ASC(UPPER(RIGHT(TRIM('2-3'!C14),4))))</f>
        <v>8100</v>
      </c>
      <c r="E45" s="20" t="s">
        <v>70</v>
      </c>
      <c r="F45" s="22" t="str">
        <f t="shared" si="2"/>
        <v/>
      </c>
      <c r="H45" s="31"/>
      <c r="J45" s="32"/>
      <c r="K45" s="32"/>
      <c r="L45" s="32"/>
      <c r="M45" s="32"/>
      <c r="N45" s="32"/>
    </row>
    <row r="46" spans="2:14" ht="28.8" x14ac:dyDescent="0.45">
      <c r="B46" s="8" t="s">
        <v>41</v>
      </c>
      <c r="C46" s="17" t="str">
        <f>IF('2-3'!C15="","",ASC(UPPER(RIGHT(TRIM('2-3'!C15),4))))</f>
        <v>0001</v>
      </c>
      <c r="E46" s="20" t="s">
        <v>31</v>
      </c>
      <c r="F46" s="22" t="str">
        <f t="shared" si="2"/>
        <v/>
      </c>
      <c r="H46" s="31"/>
      <c r="J46" s="32"/>
      <c r="K46" s="32"/>
      <c r="L46" s="32"/>
      <c r="M46" s="32"/>
      <c r="N46" s="32"/>
    </row>
    <row r="47" spans="2:14" ht="28.8" x14ac:dyDescent="0.45">
      <c r="B47" s="8" t="s">
        <v>42</v>
      </c>
      <c r="C47" s="17" t="str">
        <f>IF('2-3'!C16="","",ASC(UPPER(RIGHT(TRIM('2-3'!C16),4))))</f>
        <v>0001</v>
      </c>
      <c r="E47" s="20" t="s">
        <v>31</v>
      </c>
      <c r="F47" s="22" t="str">
        <f t="shared" si="2"/>
        <v/>
      </c>
      <c r="H47" s="31"/>
      <c r="J47" s="32"/>
      <c r="K47" s="32"/>
      <c r="L47" s="32"/>
      <c r="M47" s="32"/>
      <c r="N47" s="32"/>
    </row>
    <row r="48" spans="2:14" ht="19.8" x14ac:dyDescent="0.45">
      <c r="E48" s="20"/>
    </row>
    <row r="49" spans="1:8" ht="28.8" x14ac:dyDescent="0.45">
      <c r="B49" s="3" t="s">
        <v>93</v>
      </c>
      <c r="C49" s="17" t="str">
        <f>IF('2-3'!E5="","",ASC(UPPER(RIGHT(TRIM('2-3'!E5),4))))</f>
        <v>000D</v>
      </c>
      <c r="E49" s="20" t="s">
        <v>43</v>
      </c>
      <c r="F49" s="22" t="str">
        <f t="shared" ref="F49:F51" si="3">IF(C49&lt;&gt;E49,"×","")</f>
        <v/>
      </c>
    </row>
    <row r="50" spans="1:8" ht="28.8" x14ac:dyDescent="0.45">
      <c r="B50" s="4" t="s">
        <v>1</v>
      </c>
      <c r="C50" s="17" t="str">
        <f>IF('2-3'!E7="","",ASC(UPPER(RIGHT(TRIM('2-3'!E7),4))))</f>
        <v>0001</v>
      </c>
      <c r="E50" s="20" t="s">
        <v>31</v>
      </c>
      <c r="F50" s="22" t="str">
        <f t="shared" si="3"/>
        <v/>
      </c>
      <c r="H50" t="str">
        <f t="array" ref="H50">_xlfn.TEXTJOIN(",",TRUE,IF(F35:F51="×",B35:B51,""))</f>
        <v/>
      </c>
    </row>
    <row r="51" spans="1:8" ht="28.8" x14ac:dyDescent="0.45">
      <c r="B51" s="4" t="s">
        <v>2</v>
      </c>
      <c r="C51" s="17" t="str">
        <f>IF('2-3'!E9="","",ASC(UPPER(RIGHT(TRIM('2-3'!E9),4))))</f>
        <v>000D</v>
      </c>
      <c r="E51" s="20" t="s">
        <v>43</v>
      </c>
      <c r="F51" s="22" t="str">
        <f t="shared" si="3"/>
        <v/>
      </c>
      <c r="H51" t="str">
        <f>IF(H50="","",H50&amp;"が異なる。")</f>
        <v/>
      </c>
    </row>
    <row r="53" spans="1:8" ht="26.4" x14ac:dyDescent="0.45">
      <c r="A53" s="2" t="s">
        <v>50</v>
      </c>
      <c r="C53" t="s">
        <v>51</v>
      </c>
    </row>
    <row r="54" spans="1:8" ht="16.5" customHeight="1" x14ac:dyDescent="0.45">
      <c r="A54" s="2"/>
    </row>
    <row r="55" spans="1:8" ht="26.4" x14ac:dyDescent="0.45">
      <c r="B55" s="14" t="s">
        <v>66</v>
      </c>
      <c r="C55" s="15" t="s">
        <v>67</v>
      </c>
    </row>
    <row r="56" spans="1:8" ht="28.8" x14ac:dyDescent="0.45">
      <c r="A56" s="23" t="s">
        <v>94</v>
      </c>
      <c r="B56" s="18" t="str">
        <f>SUBSTITUTE(ASC(UPPER(TRIM('3'!F4)))," ","")</f>
        <v>LAD</v>
      </c>
      <c r="C56" s="19" t="str">
        <f>SUBSTITUTE(ASC(UPPER(TRIM('3'!G4)))," ","")</f>
        <v>GR0,#0000</v>
      </c>
      <c r="D56" s="21" t="s">
        <v>77</v>
      </c>
      <c r="E56" s="21" t="s">
        <v>85</v>
      </c>
      <c r="F56" s="22" t="str">
        <f>IF(AND(D56=B56,E56=C56),"","×")</f>
        <v/>
      </c>
    </row>
    <row r="57" spans="1:8" ht="28.8" x14ac:dyDescent="0.45">
      <c r="A57" s="23" t="s">
        <v>95</v>
      </c>
      <c r="B57" s="18" t="str">
        <f>SUBSTITUTE(ASC(UPPER(TRIM('3'!F5)))," ","")</f>
        <v>LD</v>
      </c>
      <c r="C57" s="19" t="str">
        <f>SUBSTITUTE(ASC(UPPER(TRIM('3'!G5)))," ","")</f>
        <v>GR1,#0010</v>
      </c>
      <c r="D57" s="21" t="s">
        <v>78</v>
      </c>
      <c r="E57" s="21" t="s">
        <v>86</v>
      </c>
      <c r="F57" s="22" t="str">
        <f t="shared" ref="F57:F64" si="4">IF(AND(D57=B57,E57=C57),"","×")</f>
        <v/>
      </c>
    </row>
    <row r="58" spans="1:8" ht="28.8" x14ac:dyDescent="0.45">
      <c r="A58" s="23" t="s">
        <v>96</v>
      </c>
      <c r="B58" s="18" t="str">
        <f>SUBSTITUTE(ASC(UPPER(TRIM('3'!F6)))," ","")</f>
        <v>LAD</v>
      </c>
      <c r="C58" s="19" t="str">
        <f>SUBSTITUTE(ASC(UPPER(TRIM('3'!G6)))," ","")</f>
        <v>GR2,#0001</v>
      </c>
      <c r="D58" s="21" t="s">
        <v>77</v>
      </c>
      <c r="E58" s="21" t="s">
        <v>87</v>
      </c>
      <c r="F58" s="22" t="str">
        <f t="shared" si="4"/>
        <v/>
      </c>
    </row>
    <row r="59" spans="1:8" ht="28.8" x14ac:dyDescent="0.45">
      <c r="A59" s="23" t="s">
        <v>97</v>
      </c>
      <c r="B59" s="18" t="str">
        <f>SUBSTITUTE(ASC(UPPER(TRIM('3'!F7)))," ","")</f>
        <v>SUBA</v>
      </c>
      <c r="C59" s="19" t="str">
        <f>SUBSTITUTE(ASC(UPPER(TRIM('3'!G7)))," ","")</f>
        <v>GR1,GR2</v>
      </c>
      <c r="D59" s="21" t="s">
        <v>79</v>
      </c>
      <c r="E59" s="21" t="s">
        <v>88</v>
      </c>
      <c r="F59" s="22" t="str">
        <f t="shared" si="4"/>
        <v/>
      </c>
    </row>
    <row r="60" spans="1:8" ht="28.8" x14ac:dyDescent="0.45">
      <c r="A60" s="23" t="s">
        <v>98</v>
      </c>
      <c r="B60" s="18" t="str">
        <f>SUBSTITUTE(ASC(UPPER(TRIM('3'!F8)))," ","")</f>
        <v>JMI</v>
      </c>
      <c r="C60" s="19" t="str">
        <f>SUBSTITUTE(ASC(UPPER(TRIM('3'!G8)))," ","")</f>
        <v>#000D</v>
      </c>
      <c r="D60" s="21" t="s">
        <v>80</v>
      </c>
      <c r="E60" s="21" t="s">
        <v>89</v>
      </c>
      <c r="F60" s="22" t="str">
        <f t="shared" si="4"/>
        <v/>
      </c>
    </row>
    <row r="61" spans="1:8" ht="28.8" x14ac:dyDescent="0.45">
      <c r="A61" s="23" t="s">
        <v>99</v>
      </c>
      <c r="B61" s="18" t="str">
        <f>SUBSTITUTE(ASC(UPPER(TRIM('3'!F9)))," ","")</f>
        <v>ADDA</v>
      </c>
      <c r="C61" s="19" t="str">
        <f>SUBSTITUTE(ASC(UPPER(TRIM('3'!G9)))," ","")</f>
        <v>GR0,#0012,GR1</v>
      </c>
      <c r="D61" s="21" t="s">
        <v>81</v>
      </c>
      <c r="E61" s="21" t="s">
        <v>90</v>
      </c>
      <c r="F61" s="22" t="str">
        <f t="shared" si="4"/>
        <v/>
      </c>
    </row>
    <row r="62" spans="1:8" ht="28.8" x14ac:dyDescent="0.45">
      <c r="A62" s="23" t="s">
        <v>100</v>
      </c>
      <c r="B62" s="18" t="str">
        <f>SUBSTITUTE(ASC(UPPER(TRIM('3'!F10)))," ","")</f>
        <v>JUMP</v>
      </c>
      <c r="C62" s="19" t="str">
        <f>SUBSTITUTE(ASC(UPPER(TRIM('3'!G10)))," ","")</f>
        <v>#0006</v>
      </c>
      <c r="D62" s="21" t="s">
        <v>82</v>
      </c>
      <c r="E62" s="21" t="s">
        <v>91</v>
      </c>
      <c r="F62" s="22" t="str">
        <f t="shared" si="4"/>
        <v/>
      </c>
    </row>
    <row r="63" spans="1:8" ht="28.8" x14ac:dyDescent="0.45">
      <c r="A63" s="23" t="s">
        <v>101</v>
      </c>
      <c r="B63" s="18" t="str">
        <f>SUBSTITUTE(ASC(UPPER(TRIM('3'!F11)))," ","")</f>
        <v>ST</v>
      </c>
      <c r="C63" s="19" t="str">
        <f>SUBSTITUTE(ASC(UPPER(TRIM('3'!G11)))," ","")</f>
        <v>GR0,#0011</v>
      </c>
      <c r="D63" s="21" t="s">
        <v>83</v>
      </c>
      <c r="E63" s="21" t="s">
        <v>92</v>
      </c>
      <c r="F63" s="22" t="str">
        <f t="shared" si="4"/>
        <v/>
      </c>
      <c r="H63" t="str">
        <f t="array" ref="H63">_xlfn.TEXTJOIN(",",TRUE,IF(F56:F64="×",A56:A64,""))</f>
        <v/>
      </c>
    </row>
    <row r="64" spans="1:8" ht="28.8" x14ac:dyDescent="0.45">
      <c r="A64" s="23" t="s">
        <v>102</v>
      </c>
      <c r="B64" s="18" t="str">
        <f>SUBSTITUTE(ASC(UPPER(TRIM('3'!F12)))," ","")</f>
        <v>RET</v>
      </c>
      <c r="C64" s="19" t="str">
        <f>SUBSTITUTE(ASC(UPPER(TRIM('3'!G12)))," ","")</f>
        <v/>
      </c>
      <c r="D64" s="21" t="s">
        <v>84</v>
      </c>
      <c r="E64" s="21"/>
      <c r="F64" s="22" t="str">
        <f t="shared" si="4"/>
        <v/>
      </c>
      <c r="H64" t="str">
        <f>IF(H63="","",H63&amp;"が異なる。")</f>
        <v/>
      </c>
    </row>
    <row r="66" spans="1:8" ht="19.8" x14ac:dyDescent="0.45">
      <c r="A66" s="24" t="s">
        <v>103</v>
      </c>
    </row>
    <row r="67" spans="1:8" x14ac:dyDescent="0.45">
      <c r="A67">
        <f>IF(B67="",0,"x")</f>
        <v>0</v>
      </c>
      <c r="B67" t="str">
        <f>H11</f>
        <v/>
      </c>
      <c r="C67">
        <f>IF(D67="",0,"x")</f>
        <v>0</v>
      </c>
      <c r="D67" t="str">
        <f>H30</f>
        <v/>
      </c>
      <c r="E67">
        <f>IF(F67="",0,"x")</f>
        <v>0</v>
      </c>
      <c r="F67" t="str">
        <f>H51</f>
        <v/>
      </c>
      <c r="G67">
        <f>IF(H67="",0,"x")</f>
        <v>0</v>
      </c>
      <c r="H67" t="str">
        <f>H64</f>
        <v/>
      </c>
    </row>
  </sheetData>
  <mergeCells count="2">
    <mergeCell ref="H35:H47"/>
    <mergeCell ref="J35:N47"/>
  </mergeCells>
  <phoneticPr fontId="1"/>
  <pageMargins left="0.7" right="0.7" top="0.75" bottom="0.75" header="0.3" footer="0.3"/>
  <pageSetup paperSize="9" orientation="portrait" horizontalDpi="4294967292" verticalDpi="4294967292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C97B8659245CA4095CE0DAFCE4E5EF5" ma:contentTypeVersion="3" ma:contentTypeDescription="新しいドキュメントを作成します。" ma:contentTypeScope="" ma:versionID="986093b18a774c15850c2e48cc789f46">
  <xsd:schema xmlns:xsd="http://www.w3.org/2001/XMLSchema" xmlns:xs="http://www.w3.org/2001/XMLSchema" xmlns:p="http://schemas.microsoft.com/office/2006/metadata/properties" xmlns:ns2="2591cc06-1239-41e5-b56d-e19d9a7b8530" targetNamespace="http://schemas.microsoft.com/office/2006/metadata/properties" ma:root="true" ma:fieldsID="d0db699a3c7083aad9ffc7a82f835210" ns2:_="">
    <xsd:import namespace="2591cc06-1239-41e5-b56d-e19d9a7b85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1cc06-1239-41e5-b56d-e19d9a7b8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3732A7-F19C-49BE-A33C-854B0C171E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C62307-081A-4414-B506-0DE14B917F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91cc06-1239-41e5-b56d-e19d9a7b85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90F8C0-0805-4219-BD61-465C0C8182D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2-1</vt:lpstr>
      <vt:lpstr>2-2</vt:lpstr>
      <vt:lpstr>2-3</vt:lpstr>
      <vt:lpstr>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k-kenta</dc:creator>
  <cp:lastModifiedBy>侑哉 森下</cp:lastModifiedBy>
  <cp:lastPrinted>2020-06-30T06:04:05Z</cp:lastPrinted>
  <dcterms:created xsi:type="dcterms:W3CDTF">2020-06-30T05:14:24Z</dcterms:created>
  <dcterms:modified xsi:type="dcterms:W3CDTF">2025-05-27T02:49:25Z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0x0101003C97B8659245CA4095CE0DAFCE4E5EF5</vt:lpwstr>
  </property>
</Properties>
</file>